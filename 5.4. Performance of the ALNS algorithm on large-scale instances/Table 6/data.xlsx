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.HUST\BKAI\TerritoryDesignALNSProposed\.ALNS2.0\TerritoryDesign_ALNSProposed\Experiment\Data_Ary\"/>
    </mc:Choice>
  </mc:AlternateContent>
  <xr:revisionPtr revIDLastSave="0" documentId="13_ncr:1_{EE1BEE41-4FD4-4B3E-A27F-D07AA2386F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<sst xmlns="http://schemas.openxmlformats.org/spreadsheetml/2006/main" count="42" uniqueCount="39">
  <si>
    <t>ID</t>
  </si>
  <si>
    <t>Balance Violation</t>
  </si>
  <si>
    <t>Affinity Loss</t>
  </si>
  <si>
    <t>Compactness</t>
  </si>
  <si>
    <t>planar500_G0_10_05</t>
  </si>
  <si>
    <t>planar500_G1_10_05</t>
  </si>
  <si>
    <t>planar500_G2_10_05</t>
  </si>
  <si>
    <t>planar500_G3_10_05</t>
  </si>
  <si>
    <t>planar500_G4_10_05</t>
  </si>
  <si>
    <t>planar500_G5_10_05</t>
  </si>
  <si>
    <t>planar500_G6_10_05</t>
  </si>
  <si>
    <t>planar500_G7_10_05</t>
  </si>
  <si>
    <t>planar500_G8_10_05</t>
  </si>
  <si>
    <t>planar500_G9_10_05</t>
  </si>
  <si>
    <t>planar600_G0_10_05</t>
  </si>
  <si>
    <t>planar600_G1_10_05</t>
  </si>
  <si>
    <t>planar600_G2_10_05</t>
  </si>
  <si>
    <t>planar600_G3_10_05</t>
  </si>
  <si>
    <t>planar600_G4_10_05</t>
  </si>
  <si>
    <t>planar600_G5_10_05</t>
  </si>
  <si>
    <t>planar600_G6_10_05</t>
  </si>
  <si>
    <t>planar600_G7_10_05</t>
  </si>
  <si>
    <t>planar600_G8_10_05</t>
  </si>
  <si>
    <t>planar600_G9_10_05</t>
  </si>
  <si>
    <t>planar700_G0_10_05</t>
  </si>
  <si>
    <t>planar700_G1_10_05</t>
  </si>
  <si>
    <t>planar700_G2_10_05</t>
  </si>
  <si>
    <t>planar700_G3_10_05</t>
  </si>
  <si>
    <t>planar700_G4_10_05</t>
  </si>
  <si>
    <t>planar700_G5_10_05</t>
  </si>
  <si>
    <t>planar700_G6_10_05</t>
  </si>
  <si>
    <t>planar700_G7_10_05</t>
  </si>
  <si>
    <t>planar700_G8_10_05</t>
  </si>
  <si>
    <t>planar700_G9_10_05</t>
  </si>
  <si>
    <t>ALNS</t>
  </si>
  <si>
    <t>RVND</t>
  </si>
  <si>
    <t>Gap vs RVND</t>
  </si>
  <si>
    <t>Gap vs Glestch</t>
  </si>
  <si>
    <t>Gliesch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</si>
</sst>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O16" sqref="O16"/>
    </sheetView>
  </sheetViews>
  <sheetFormatPr defaultRowHeight="14.4" x14ac:dyDescent="0.3"/>
  <cols>
    <col min="1" max="1" width="21.5546875" customWidth="1"/>
    <col min="2" max="2" width="19.33203125" customWidth="1"/>
    <col min="3" max="3" width="19.77734375" customWidth="1"/>
    <col min="4" max="4" width="19.6640625" customWidth="1"/>
    <col min="5" max="5" width="13.44140625" customWidth="1"/>
    <col min="6" max="6" width="12.44140625" customWidth="1"/>
    <col min="7" max="7" width="14.77734375" customWidth="1"/>
    <col min="8" max="8" width="13.21875" customWidth="1"/>
  </cols>
  <sheetData>
    <row r="1" spans="1:11" x14ac:dyDescent="0.3">
      <c r="A1" s="1" t="s">
        <v>0</v>
      </c>
      <c r="B1" s="12" t="s">
        <v>34</v>
      </c>
      <c r="C1" s="13"/>
      <c r="D1" s="14"/>
      <c r="E1" s="12" t="s">
        <v>35</v>
      </c>
      <c r="F1" s="13"/>
      <c r="G1" s="13" t="s">
        <v>38</v>
      </c>
      <c r="H1" s="14"/>
    </row>
    <row r="2" spans="1:11" x14ac:dyDescent="0.3">
      <c r="A2" s="1" t="s">
        <v>0</v>
      </c>
      <c r="B2" s="1" t="s">
        <v>1</v>
      </c>
      <c r="C2" s="2" t="s">
        <v>2</v>
      </c>
      <c r="D2" s="2" t="s">
        <v>3</v>
      </c>
      <c r="E2" s="8" t="s">
        <v>3</v>
      </c>
      <c r="F2" s="3" t="s">
        <v>36</v>
      </c>
      <c r="G2" s="8" t="s">
        <v>3</v>
      </c>
      <c r="H2" s="4" t="s">
        <v>37</v>
      </c>
      <c r="I2" s="10"/>
      <c r="J2" s="9"/>
      <c r="K2" s="9"/>
    </row>
    <row r="3" spans="1:11" x14ac:dyDescent="0.3">
      <c r="A3" s="5" t="s">
        <v>4</v>
      </c>
      <c r="B3" s="5">
        <v>0</v>
      </c>
      <c r="C3" s="5">
        <v>0</v>
      </c>
      <c r="D3" s="11">
        <v>5963.01</v>
      </c>
      <c r="E3" s="6">
        <v>5963.01</v>
      </c>
      <c r="F3" s="6">
        <f xml:space="preserve"> (E3 / D3) * 100</f>
        <v>100</v>
      </c>
      <c r="G3" s="6">
        <v>6181.38</v>
      </c>
      <c r="H3" s="6">
        <f xml:space="preserve"> (G3 / D3) * 100</f>
        <v>103.66207670287322</v>
      </c>
      <c r="I3" s="10"/>
      <c r="J3" s="9"/>
      <c r="K3" s="9"/>
    </row>
    <row r="4" spans="1:11" x14ac:dyDescent="0.3">
      <c r="A4" s="5" t="s">
        <v>5</v>
      </c>
      <c r="B4" s="5">
        <v>0</v>
      </c>
      <c r="C4" s="5">
        <v>0</v>
      </c>
      <c r="D4" s="6">
        <v>5959.22</v>
      </c>
      <c r="E4" s="6">
        <v>6061.62</v>
      </c>
      <c r="F4" s="6">
        <f t="shared" ref="F4:F32" si="0" xml:space="preserve"> (E4 / D4) * 100</f>
        <v>101.71834568953655</v>
      </c>
      <c r="G4" s="6">
        <v>6208.44</v>
      </c>
      <c r="H4" s="6">
        <f t="shared" ref="H4:H32" si="1" xml:space="preserve"> (G4 / D4) * 100</f>
        <v>104.18209094478807</v>
      </c>
      <c r="I4" s="10"/>
      <c r="J4" s="9"/>
      <c r="K4" s="9"/>
    </row>
    <row r="5" spans="1:11" x14ac:dyDescent="0.3">
      <c r="A5" s="5" t="s">
        <v>6</v>
      </c>
      <c r="B5" s="5">
        <v>0</v>
      </c>
      <c r="C5" s="5">
        <v>0</v>
      </c>
      <c r="D5" s="6">
        <v>5861.69</v>
      </c>
      <c r="E5" s="6">
        <v>5865.25</v>
      </c>
      <c r="F5" s="6">
        <f t="shared" si="0"/>
        <v>100.06073333799638</v>
      </c>
      <c r="G5" s="6">
        <v>6048.41</v>
      </c>
      <c r="H5" s="6">
        <f t="shared" si="1"/>
        <v>103.18542945805733</v>
      </c>
      <c r="I5" s="10"/>
      <c r="J5" s="9"/>
      <c r="K5" s="9"/>
    </row>
    <row r="6" spans="1:11" x14ac:dyDescent="0.3">
      <c r="A6" s="5" t="s">
        <v>7</v>
      </c>
      <c r="B6" s="5">
        <v>0</v>
      </c>
      <c r="C6" s="5">
        <v>0</v>
      </c>
      <c r="D6" s="6">
        <v>5717.7</v>
      </c>
      <c r="E6" s="6">
        <v>5717.7</v>
      </c>
      <c r="F6" s="6">
        <f t="shared" si="0"/>
        <v>100</v>
      </c>
      <c r="G6" s="6">
        <v>6052.93</v>
      </c>
      <c r="H6" s="6">
        <f t="shared" si="1"/>
        <v>105.86302184444796</v>
      </c>
      <c r="I6" s="10"/>
      <c r="J6" s="9"/>
      <c r="K6" s="9"/>
    </row>
    <row r="7" spans="1:11" x14ac:dyDescent="0.3">
      <c r="A7" s="5" t="s">
        <v>8</v>
      </c>
      <c r="B7" s="5">
        <v>0</v>
      </c>
      <c r="C7" s="5">
        <v>0</v>
      </c>
      <c r="D7" s="6">
        <v>5971.43</v>
      </c>
      <c r="E7" s="6">
        <v>6056.81</v>
      </c>
      <c r="F7" s="6">
        <f t="shared" si="0"/>
        <v>101.42980827038079</v>
      </c>
      <c r="G7" s="6">
        <v>6249.97</v>
      </c>
      <c r="H7" s="6">
        <f t="shared" si="1"/>
        <v>104.66454433862576</v>
      </c>
      <c r="I7" s="10"/>
      <c r="J7" s="9"/>
      <c r="K7" s="9"/>
    </row>
    <row r="8" spans="1:11" x14ac:dyDescent="0.3">
      <c r="A8" s="5" t="s">
        <v>9</v>
      </c>
      <c r="B8" s="5">
        <v>0</v>
      </c>
      <c r="C8" s="5">
        <v>0</v>
      </c>
      <c r="D8" s="6">
        <v>5935.94</v>
      </c>
      <c r="E8" s="6">
        <v>6022.74</v>
      </c>
      <c r="F8" s="6">
        <f t="shared" si="0"/>
        <v>101.46227893139081</v>
      </c>
      <c r="G8" s="6">
        <v>6144.35</v>
      </c>
      <c r="H8" s="6">
        <f t="shared" si="1"/>
        <v>103.51098562317004</v>
      </c>
      <c r="I8" s="10"/>
      <c r="J8" s="9"/>
      <c r="K8" s="9"/>
    </row>
    <row r="9" spans="1:11" x14ac:dyDescent="0.3">
      <c r="A9" s="5" t="s">
        <v>10</v>
      </c>
      <c r="B9" s="5">
        <v>0</v>
      </c>
      <c r="C9" s="5">
        <v>0</v>
      </c>
      <c r="D9" s="6">
        <v>5919.99</v>
      </c>
      <c r="E9" s="6">
        <v>5954.55</v>
      </c>
      <c r="F9" s="6">
        <f t="shared" si="0"/>
        <v>100.5837847699067</v>
      </c>
      <c r="G9" s="6">
        <v>6173.73</v>
      </c>
      <c r="H9" s="6">
        <f t="shared" si="1"/>
        <v>104.28615588877683</v>
      </c>
      <c r="I9" s="10"/>
      <c r="J9" s="9"/>
      <c r="K9" s="9"/>
    </row>
    <row r="10" spans="1:11" x14ac:dyDescent="0.3">
      <c r="A10" s="5" t="s">
        <v>11</v>
      </c>
      <c r="B10" s="5">
        <v>0</v>
      </c>
      <c r="C10" s="5">
        <v>0</v>
      </c>
      <c r="D10" s="6">
        <v>5756.93</v>
      </c>
      <c r="E10" s="6">
        <v>5759.5</v>
      </c>
      <c r="F10" s="6">
        <f t="shared" si="0"/>
        <v>100.04464184904107</v>
      </c>
      <c r="G10" s="6">
        <v>6032.1</v>
      </c>
      <c r="H10" s="6">
        <f t="shared" si="1"/>
        <v>104.77980451386418</v>
      </c>
      <c r="I10" s="10"/>
      <c r="J10" s="9"/>
      <c r="K10" s="9"/>
    </row>
    <row r="11" spans="1:11" x14ac:dyDescent="0.3">
      <c r="A11" s="5" t="s">
        <v>12</v>
      </c>
      <c r="B11" s="5">
        <v>0</v>
      </c>
      <c r="C11" s="5">
        <v>0</v>
      </c>
      <c r="D11" s="6">
        <v>5908.35</v>
      </c>
      <c r="E11" s="6">
        <v>5950.93</v>
      </c>
      <c r="F11" s="6">
        <f t="shared" si="0"/>
        <v>100.72067497693942</v>
      </c>
      <c r="G11" s="6">
        <v>6096.53</v>
      </c>
      <c r="H11" s="6">
        <f t="shared" si="1"/>
        <v>103.18498396337385</v>
      </c>
      <c r="I11" s="10"/>
      <c r="J11" s="9"/>
      <c r="K11" s="9"/>
    </row>
    <row r="12" spans="1:11" x14ac:dyDescent="0.3">
      <c r="A12" s="5" t="s">
        <v>13</v>
      </c>
      <c r="B12" s="5">
        <v>0</v>
      </c>
      <c r="C12" s="5">
        <v>0</v>
      </c>
      <c r="D12" s="6">
        <v>5838.49</v>
      </c>
      <c r="E12" s="6">
        <v>5914.89</v>
      </c>
      <c r="F12" s="6">
        <f t="shared" si="0"/>
        <v>101.30855752086585</v>
      </c>
      <c r="G12" s="6">
        <v>6097.98</v>
      </c>
      <c r="H12" s="6">
        <f t="shared" si="1"/>
        <v>104.44447108755858</v>
      </c>
      <c r="I12" s="10"/>
      <c r="J12" s="9"/>
      <c r="K12" s="9"/>
    </row>
    <row r="13" spans="1:11" x14ac:dyDescent="0.3">
      <c r="A13" s="5" t="s">
        <v>14</v>
      </c>
      <c r="B13" s="5">
        <v>0</v>
      </c>
      <c r="C13" s="5">
        <v>0</v>
      </c>
      <c r="D13" s="6">
        <v>7182.75</v>
      </c>
      <c r="E13" s="6">
        <v>7242.83</v>
      </c>
      <c r="F13" s="6">
        <f t="shared" si="0"/>
        <v>100.8364484354878</v>
      </c>
      <c r="G13" s="6">
        <v>7459.64</v>
      </c>
      <c r="H13" s="6">
        <f t="shared" si="1"/>
        <v>103.85493021475062</v>
      </c>
      <c r="I13" s="10"/>
      <c r="J13" s="9"/>
      <c r="K13" s="9"/>
    </row>
    <row r="14" spans="1:11" x14ac:dyDescent="0.3">
      <c r="A14" s="5" t="s">
        <v>15</v>
      </c>
      <c r="B14" s="5">
        <v>0</v>
      </c>
      <c r="C14" s="5">
        <v>0</v>
      </c>
      <c r="D14" s="6">
        <v>7116.39</v>
      </c>
      <c r="E14" s="6">
        <v>7213.44</v>
      </c>
      <c r="F14" s="6">
        <f t="shared" si="0"/>
        <v>101.36375325129734</v>
      </c>
      <c r="G14" s="6">
        <v>7429.11</v>
      </c>
      <c r="H14" s="6">
        <f t="shared" si="1"/>
        <v>104.39436287218659</v>
      </c>
      <c r="I14" s="10"/>
      <c r="J14" s="9"/>
      <c r="K14" s="9"/>
    </row>
    <row r="15" spans="1:11" x14ac:dyDescent="0.3">
      <c r="A15" s="5" t="s">
        <v>16</v>
      </c>
      <c r="B15" s="5">
        <v>0</v>
      </c>
      <c r="C15" s="5">
        <v>0</v>
      </c>
      <c r="D15" s="6">
        <v>6987.86</v>
      </c>
      <c r="E15" s="6">
        <v>6993.02</v>
      </c>
      <c r="F15" s="6">
        <f t="shared" si="0"/>
        <v>100.07384234944605</v>
      </c>
      <c r="G15" s="6">
        <v>7233.09</v>
      </c>
      <c r="H15" s="6">
        <f t="shared" si="1"/>
        <v>103.50937196795587</v>
      </c>
      <c r="I15" s="10"/>
      <c r="J15" s="9"/>
      <c r="K15" s="9"/>
    </row>
    <row r="16" spans="1:11" x14ac:dyDescent="0.3">
      <c r="A16" s="5" t="s">
        <v>17</v>
      </c>
      <c r="B16" s="5">
        <v>0</v>
      </c>
      <c r="C16" s="5">
        <v>0</v>
      </c>
      <c r="D16" s="6">
        <v>7084.58</v>
      </c>
      <c r="E16" s="6">
        <v>7139.56</v>
      </c>
      <c r="F16" s="6">
        <f t="shared" si="0"/>
        <v>100.7760516502037</v>
      </c>
      <c r="G16" s="6">
        <v>7377.94</v>
      </c>
      <c r="H16" s="6">
        <f t="shared" si="1"/>
        <v>104.14082415612498</v>
      </c>
      <c r="I16" s="10"/>
      <c r="J16" s="9"/>
      <c r="K16" s="9"/>
    </row>
    <row r="17" spans="1:11" x14ac:dyDescent="0.3">
      <c r="A17" s="5" t="s">
        <v>18</v>
      </c>
      <c r="B17" s="5">
        <v>0</v>
      </c>
      <c r="C17" s="5">
        <v>0</v>
      </c>
      <c r="D17" s="6">
        <v>7099.42</v>
      </c>
      <c r="E17" s="6">
        <v>7134.06</v>
      </c>
      <c r="F17" s="6">
        <f t="shared" si="0"/>
        <v>100.48792718278395</v>
      </c>
      <c r="G17" s="6">
        <v>7375.86</v>
      </c>
      <c r="H17" s="6">
        <f t="shared" si="1"/>
        <v>103.89383921503446</v>
      </c>
      <c r="I17" s="10"/>
      <c r="J17" s="9"/>
      <c r="K17" s="9"/>
    </row>
    <row r="18" spans="1:11" x14ac:dyDescent="0.3">
      <c r="A18" s="5" t="s">
        <v>19</v>
      </c>
      <c r="B18" s="5">
        <v>0</v>
      </c>
      <c r="C18" s="5">
        <v>0</v>
      </c>
      <c r="D18" s="6">
        <v>7073.05</v>
      </c>
      <c r="E18" s="6">
        <v>7094.95</v>
      </c>
      <c r="F18" s="6">
        <f t="shared" si="0"/>
        <v>100.30962597465025</v>
      </c>
      <c r="G18" s="6">
        <v>7260.74</v>
      </c>
      <c r="H18" s="6">
        <f t="shared" si="1"/>
        <v>102.6535935699592</v>
      </c>
      <c r="I18" s="10"/>
      <c r="J18" s="9"/>
      <c r="K18" s="9"/>
    </row>
    <row r="19" spans="1:11" x14ac:dyDescent="0.3">
      <c r="A19" s="5" t="s">
        <v>20</v>
      </c>
      <c r="B19" s="5">
        <v>0</v>
      </c>
      <c r="C19" s="5">
        <v>0</v>
      </c>
      <c r="D19" s="6">
        <v>7045.97</v>
      </c>
      <c r="E19" s="6">
        <v>7109.39</v>
      </c>
      <c r="F19" s="6">
        <f t="shared" si="0"/>
        <v>100.90008898703798</v>
      </c>
      <c r="G19" s="6">
        <v>7267.71</v>
      </c>
      <c r="H19" s="6">
        <f t="shared" si="1"/>
        <v>103.14704717732263</v>
      </c>
      <c r="I19" s="10"/>
      <c r="J19" s="9"/>
      <c r="K19" s="9"/>
    </row>
    <row r="20" spans="1:11" x14ac:dyDescent="0.3">
      <c r="A20" s="5" t="s">
        <v>21</v>
      </c>
      <c r="B20" s="5">
        <v>0</v>
      </c>
      <c r="C20" s="5">
        <v>0</v>
      </c>
      <c r="D20" s="6">
        <v>7183.06</v>
      </c>
      <c r="E20" s="6">
        <v>7234.91</v>
      </c>
      <c r="F20" s="6">
        <f t="shared" si="0"/>
        <v>100.72183721143912</v>
      </c>
      <c r="G20" s="6">
        <v>7510.67</v>
      </c>
      <c r="H20" s="6">
        <f t="shared" si="1"/>
        <v>104.56086960153472</v>
      </c>
      <c r="I20" s="10"/>
      <c r="J20" s="9"/>
      <c r="K20" s="9"/>
    </row>
    <row r="21" spans="1:11" x14ac:dyDescent="0.3">
      <c r="A21" s="5" t="s">
        <v>22</v>
      </c>
      <c r="B21" s="5">
        <v>0</v>
      </c>
      <c r="C21" s="5">
        <v>0</v>
      </c>
      <c r="D21" s="6">
        <v>6959.56</v>
      </c>
      <c r="E21" s="6">
        <v>6959.67</v>
      </c>
      <c r="F21" s="6">
        <f t="shared" si="0"/>
        <v>100.00158055969055</v>
      </c>
      <c r="G21" s="6">
        <v>7181.33</v>
      </c>
      <c r="H21" s="6">
        <f t="shared" si="1"/>
        <v>103.18655202340376</v>
      </c>
      <c r="I21" s="10"/>
      <c r="J21" s="9"/>
      <c r="K21" s="9"/>
    </row>
    <row r="22" spans="1:11" x14ac:dyDescent="0.3">
      <c r="A22" s="5" t="s">
        <v>23</v>
      </c>
      <c r="B22" s="5">
        <v>0</v>
      </c>
      <c r="C22" s="5">
        <v>0</v>
      </c>
      <c r="D22" s="6">
        <v>7104.82</v>
      </c>
      <c r="E22" s="6">
        <v>7144.82</v>
      </c>
      <c r="F22" s="6">
        <f t="shared" si="0"/>
        <v>100.56299807736157</v>
      </c>
      <c r="G22" s="6">
        <v>7360.13</v>
      </c>
      <c r="H22" s="6">
        <f t="shared" si="1"/>
        <v>103.59347597827954</v>
      </c>
      <c r="I22" s="10"/>
      <c r="J22" s="9"/>
      <c r="K22" s="9"/>
    </row>
    <row r="23" spans="1:11" x14ac:dyDescent="0.3">
      <c r="A23" s="5" t="s">
        <v>24</v>
      </c>
      <c r="B23" s="5">
        <v>0</v>
      </c>
      <c r="C23" s="5">
        <v>0</v>
      </c>
      <c r="D23" s="6">
        <v>8544.4599999999991</v>
      </c>
      <c r="E23" s="6">
        <v>8636.73</v>
      </c>
      <c r="F23" s="6">
        <f t="shared" si="0"/>
        <v>101.07988099891627</v>
      </c>
      <c r="G23" s="6">
        <v>8831.89</v>
      </c>
      <c r="H23" s="6">
        <f t="shared" si="1"/>
        <v>103.36393405785738</v>
      </c>
      <c r="I23" s="10"/>
      <c r="J23" s="9"/>
      <c r="K23" s="9"/>
    </row>
    <row r="24" spans="1:11" x14ac:dyDescent="0.3">
      <c r="A24" s="5" t="s">
        <v>25</v>
      </c>
      <c r="B24" s="5">
        <v>0</v>
      </c>
      <c r="C24" s="5">
        <v>0</v>
      </c>
      <c r="D24" s="6">
        <v>8315.59</v>
      </c>
      <c r="E24" s="6">
        <v>8347.7199999999993</v>
      </c>
      <c r="F24" s="6">
        <f t="shared" si="0"/>
        <v>100.38638268601505</v>
      </c>
      <c r="G24" s="6">
        <v>8593.85</v>
      </c>
      <c r="H24" s="6">
        <f t="shared" si="1"/>
        <v>103.34624482448029</v>
      </c>
      <c r="I24" s="10"/>
      <c r="J24" s="9"/>
      <c r="K24" s="9"/>
    </row>
    <row r="25" spans="1:11" x14ac:dyDescent="0.3">
      <c r="A25" s="5" t="s">
        <v>26</v>
      </c>
      <c r="B25" s="5">
        <v>0</v>
      </c>
      <c r="C25" s="5">
        <v>0</v>
      </c>
      <c r="D25" s="6">
        <v>8243.36</v>
      </c>
      <c r="E25" s="6">
        <v>8499.9599999999991</v>
      </c>
      <c r="F25" s="6">
        <f t="shared" si="0"/>
        <v>103.11280836940276</v>
      </c>
      <c r="G25" s="6">
        <v>8702.3700000000008</v>
      </c>
      <c r="H25" s="6">
        <f t="shared" si="1"/>
        <v>105.56823916461249</v>
      </c>
      <c r="I25" s="10"/>
      <c r="J25" s="9"/>
      <c r="K25" s="9"/>
    </row>
    <row r="26" spans="1:11" x14ac:dyDescent="0.3">
      <c r="A26" s="5" t="s">
        <v>27</v>
      </c>
      <c r="B26" s="5">
        <v>0</v>
      </c>
      <c r="C26" s="5">
        <v>0</v>
      </c>
      <c r="D26" s="6">
        <v>8356.32</v>
      </c>
      <c r="E26" s="6">
        <v>8494.9699999999993</v>
      </c>
      <c r="F26" s="6">
        <f t="shared" si="0"/>
        <v>101.65922319872863</v>
      </c>
      <c r="G26" s="6">
        <v>8710.77</v>
      </c>
      <c r="H26" s="6">
        <f t="shared" si="1"/>
        <v>104.24169969555979</v>
      </c>
      <c r="I26" s="10"/>
      <c r="J26" s="9"/>
      <c r="K26" s="9"/>
    </row>
    <row r="27" spans="1:11" x14ac:dyDescent="0.3">
      <c r="A27" s="5" t="s">
        <v>28</v>
      </c>
      <c r="B27" s="5">
        <v>0</v>
      </c>
      <c r="C27" s="5">
        <v>0</v>
      </c>
      <c r="D27" s="6">
        <v>8168.92</v>
      </c>
      <c r="E27" s="6">
        <v>8336.18</v>
      </c>
      <c r="F27" s="6">
        <f t="shared" si="0"/>
        <v>102.04751668519216</v>
      </c>
      <c r="G27" s="6">
        <v>8453.66</v>
      </c>
      <c r="H27" s="6">
        <f t="shared" si="1"/>
        <v>103.48565048990564</v>
      </c>
      <c r="I27" s="10"/>
      <c r="J27" s="9"/>
      <c r="K27" s="9"/>
    </row>
    <row r="28" spans="1:11" x14ac:dyDescent="0.3">
      <c r="A28" s="5" t="s">
        <v>29</v>
      </c>
      <c r="B28" s="5">
        <v>0</v>
      </c>
      <c r="C28" s="5">
        <v>0</v>
      </c>
      <c r="D28" s="6">
        <v>8247.64</v>
      </c>
      <c r="E28" s="6">
        <v>8329.56</v>
      </c>
      <c r="F28" s="6">
        <f t="shared" si="0"/>
        <v>100.99325382776163</v>
      </c>
      <c r="G28" s="6">
        <v>8497.7199999999993</v>
      </c>
      <c r="H28" s="6">
        <f t="shared" si="1"/>
        <v>103.03214010310828</v>
      </c>
      <c r="I28" s="10"/>
      <c r="J28" s="9"/>
      <c r="K28" s="9"/>
    </row>
    <row r="29" spans="1:11" x14ac:dyDescent="0.3">
      <c r="A29" s="5" t="s">
        <v>30</v>
      </c>
      <c r="B29" s="5">
        <v>0</v>
      </c>
      <c r="C29" s="5">
        <v>0</v>
      </c>
      <c r="D29" s="6">
        <v>8417.3799999999992</v>
      </c>
      <c r="E29" s="6">
        <v>8498.15</v>
      </c>
      <c r="F29" s="6">
        <f t="shared" si="0"/>
        <v>100.95956223908154</v>
      </c>
      <c r="G29" s="6">
        <v>8834.8799999999992</v>
      </c>
      <c r="H29" s="6">
        <f t="shared" si="1"/>
        <v>104.95997566938881</v>
      </c>
      <c r="I29" s="10"/>
      <c r="J29" s="9"/>
      <c r="K29" s="9"/>
    </row>
    <row r="30" spans="1:11" x14ac:dyDescent="0.3">
      <c r="A30" s="5" t="s">
        <v>31</v>
      </c>
      <c r="B30" s="5">
        <v>0</v>
      </c>
      <c r="C30" s="5">
        <v>0</v>
      </c>
      <c r="D30" s="6">
        <v>8406.5499999999993</v>
      </c>
      <c r="E30" s="6">
        <v>8414.86</v>
      </c>
      <c r="F30" s="6">
        <f t="shared" si="0"/>
        <v>100.09885149080182</v>
      </c>
      <c r="G30" s="6">
        <v>8638.93</v>
      </c>
      <c r="H30" s="6">
        <f t="shared" si="1"/>
        <v>102.76427309657352</v>
      </c>
      <c r="I30" s="10"/>
      <c r="J30" s="9"/>
      <c r="K30" s="9"/>
    </row>
    <row r="31" spans="1:11" x14ac:dyDescent="0.3">
      <c r="A31" s="5" t="s">
        <v>32</v>
      </c>
      <c r="B31" s="5">
        <v>0</v>
      </c>
      <c r="C31" s="5">
        <v>0</v>
      </c>
      <c r="D31" s="6">
        <v>8401.34</v>
      </c>
      <c r="E31" s="6">
        <v>8541.42</v>
      </c>
      <c r="F31" s="6">
        <f t="shared" si="0"/>
        <v>101.66735306510628</v>
      </c>
      <c r="G31" s="6">
        <v>8698.65</v>
      </c>
      <c r="H31" s="6">
        <f t="shared" si="1"/>
        <v>103.53884023262955</v>
      </c>
      <c r="I31" s="10"/>
      <c r="J31" s="9"/>
      <c r="K31" s="9"/>
    </row>
    <row r="32" spans="1:11" x14ac:dyDescent="0.3">
      <c r="A32" s="4" t="s">
        <v>33</v>
      </c>
      <c r="B32" s="4">
        <v>0</v>
      </c>
      <c r="C32" s="4">
        <v>0</v>
      </c>
      <c r="D32" s="7">
        <v>8342.67</v>
      </c>
      <c r="E32" s="7">
        <v>8424.18</v>
      </c>
      <c r="F32" s="7">
        <f t="shared" si="0"/>
        <v>100.97702534080817</v>
      </c>
      <c r="G32" s="7">
        <v>8657.4599999999991</v>
      </c>
      <c r="H32" s="7">
        <f t="shared" si="1"/>
        <v>103.7732524479573</v>
      </c>
      <c r="I32" s="10"/>
      <c r="J32" s="9"/>
      <c r="K32" s="9"/>
    </row>
  </sheetData>
  <mergeCells count="3">
    <mergeCell ref="B1:D1"/>
    <mergeCell ref="E1:F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Phong 202400066</cp:lastModifiedBy>
  <dcterms:created xsi:type="dcterms:W3CDTF">2025-10-01T10:51:08Z</dcterms:created>
  <dcterms:modified xsi:type="dcterms:W3CDTF">2025-12-30T02:14:07Z</dcterms:modified>
</cp:coreProperties>
</file>